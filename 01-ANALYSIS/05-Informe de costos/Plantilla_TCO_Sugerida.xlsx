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prendiz\Documents\Downloads\"/>
    </mc:Choice>
  </mc:AlternateContent>
  <xr:revisionPtr revIDLastSave="0" documentId="13_ncr:1_{355BC38B-B6C8-4A2A-83A8-23532CF3DB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umen Ejecutivo" sheetId="1" r:id="rId1"/>
    <sheet name="OPEX" sheetId="2" r:id="rId2"/>
    <sheet name="Cloud" sheetId="3" r:id="rId3"/>
    <sheet name="Personal" sheetId="4" r:id="rId4"/>
    <sheet name="Riesgos" sheetId="5" r:id="rId5"/>
    <sheet name="Supuestos" sheetId="6" r:id="rId6"/>
    <sheet name="CAPEX" sheetId="7" r:id="rId7"/>
    <sheet name="Grafic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FEVZIF4gEXc6ufzyaa3Di1lS6yX9/9VJmteWlKvO7E0="/>
    </ext>
  </extLst>
</workbook>
</file>

<file path=xl/calcChain.xml><?xml version="1.0" encoding="utf-8"?>
<calcChain xmlns="http://schemas.openxmlformats.org/spreadsheetml/2006/main">
  <c r="B6" i="1" l="1"/>
  <c r="B2" i="1"/>
  <c r="E5" i="7"/>
  <c r="B5" i="1"/>
  <c r="B4" i="1"/>
  <c r="E2" i="2"/>
  <c r="G2" i="2" s="1"/>
  <c r="E3" i="7"/>
  <c r="E2" i="7"/>
  <c r="E3" i="2"/>
  <c r="G3" i="2" s="1"/>
  <c r="B3" i="1" l="1"/>
  <c r="F2" i="2"/>
  <c r="F3" i="2"/>
</calcChain>
</file>

<file path=xl/sharedStrings.xml><?xml version="1.0" encoding="utf-8"?>
<sst xmlns="http://schemas.openxmlformats.org/spreadsheetml/2006/main" count="67" uniqueCount="51">
  <si>
    <t>Indicador</t>
  </si>
  <si>
    <t>Valor</t>
  </si>
  <si>
    <t>Observaciones</t>
  </si>
  <si>
    <t>CAPEX Total</t>
  </si>
  <si>
    <t>OPEX Total Anual</t>
  </si>
  <si>
    <t>Costo total 3 años</t>
  </si>
  <si>
    <t>Costo total 5 años</t>
  </si>
  <si>
    <t>ROI (%)</t>
  </si>
  <si>
    <t>Suponiendo 15% de retorno</t>
  </si>
  <si>
    <t>Categoría</t>
  </si>
  <si>
    <t>Descripción</t>
  </si>
  <si>
    <t>Periodicidad</t>
  </si>
  <si>
    <t>Costo unitario</t>
  </si>
  <si>
    <t>Costo anual</t>
  </si>
  <si>
    <t>Costo 3 años</t>
  </si>
  <si>
    <t>Costo 5 años</t>
  </si>
  <si>
    <t>Soporte</t>
  </si>
  <si>
    <t>Soporte anual</t>
  </si>
  <si>
    <t>Mensual</t>
  </si>
  <si>
    <t>Recurso Cloud</t>
  </si>
  <si>
    <t>SKU</t>
  </si>
  <si>
    <t>Unidad</t>
  </si>
  <si>
    <t>Consumo estimado</t>
  </si>
  <si>
    <t>Costo mensual</t>
  </si>
  <si>
    <t>Rol</t>
  </si>
  <si>
    <t>Cantidad</t>
  </si>
  <si>
    <t>Costo mensual por persona</t>
  </si>
  <si>
    <t>Dedicación %</t>
  </si>
  <si>
    <t>Costo mensual asignado</t>
  </si>
  <si>
    <t>Riesgo</t>
  </si>
  <si>
    <t>Probabilidad</t>
  </si>
  <si>
    <t>Impacto</t>
  </si>
  <si>
    <t>Nivel</t>
  </si>
  <si>
    <t>Costo asociado</t>
  </si>
  <si>
    <t>Mitigación</t>
  </si>
  <si>
    <t>Supuesto</t>
  </si>
  <si>
    <t>Costo total</t>
  </si>
  <si>
    <t>Responsable</t>
  </si>
  <si>
    <t>Hardware</t>
  </si>
  <si>
    <t>Infra</t>
  </si>
  <si>
    <t>Software</t>
  </si>
  <si>
    <t>pistola laser</t>
  </si>
  <si>
    <t>impresora</t>
  </si>
  <si>
    <t>sticker</t>
  </si>
  <si>
    <t>Consumo</t>
  </si>
  <si>
    <t>daño de lector</t>
  </si>
  <si>
    <t>daño de impresora</t>
  </si>
  <si>
    <t>que suba todo un 10%</t>
  </si>
  <si>
    <t>que baje todo un 10%</t>
  </si>
  <si>
    <t>Mano de obra</t>
  </si>
  <si>
    <t>mano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</si>
</sst>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5" formatCode="_-&quot;$&quot;* #,##0.000_-;\-&quot;$&quot;* #,##0.000_-;_-&quot;$&quot;* &quot;-&quot;??_-;_-@_-"/>
    <numFmt numFmtId="166" formatCode="_-&quot;$&quot;* #,##0_-;\-&quot;$&quot;* #,##0_-;_-&quot;$&quot;* &quot;-&quot;??_-;_-@_-"/>
  </numFmts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  <xf numFmtId="44" fontId="0" fillId="0" borderId="0" xfId="1" applyFont="1"/>
    <xf numFmtId="165" fontId="0" fillId="0" borderId="0" xfId="1" applyNumberFormat="1" applyFont="1"/>
    <xf numFmtId="44" fontId="2" fillId="0" borderId="0" xfId="1" applyFont="1"/>
    <xf numFmtId="166" fontId="2" fillId="0" borderId="0" xfId="1" applyNumberFormat="1" applyFont="1"/>
    <xf numFmtId="166" fontId="0" fillId="0" borderId="0" xfId="1" applyNumberFormat="1" applyFont="1"/>
    <xf numFmtId="9" fontId="0" fillId="0" borderId="0" xfId="0" applyNumberFormat="1"/>
    <xf numFmtId="44" fontId="2" fillId="0" borderId="0" xfId="0" applyNumberFormat="1" applyFont="1"/>
    <xf numFmtId="166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CAPEX vs OPEX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D3A-4B88-AACD-7C983817EC3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D3A-4B88-AACD-7C983817EC3F}"/>
              </c:ext>
            </c:extLst>
          </c:dPt>
          <c:cat>
            <c:strRef>
              <c:f>'Resumen Ejecutivo'!$A$2:$A$3</c:f>
              <c:strCache>
                <c:ptCount val="2"/>
                <c:pt idx="0">
                  <c:v>CAPEX Total</c:v>
                </c:pt>
                <c:pt idx="1">
                  <c:v>OPEX Total Anual</c:v>
                </c:pt>
              </c:strCache>
            </c:strRef>
          </c:cat>
          <c:val>
            <c:numRef>
              <c:f>'Resumen Ejecutivo'!$B$2:$B$3</c:f>
              <c:numCache>
                <c:formatCode>_("$"* #,##0.00_);_("$"* \(#,##0.00\);_("$"* "-"??_);_(@_)</c:formatCode>
                <c:ptCount val="2"/>
                <c:pt idx="0">
                  <c:v>6500000</c:v>
                </c:pt>
                <c:pt idx="1">
                  <c:v>72600000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3A-4B88-AACD-7C983817E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MX" b="1" i="0">
                <a:solidFill>
                  <a:srgbClr val="757575"/>
                </a:solidFill>
                <a:latin typeface="+mn-lt"/>
              </a:rPr>
              <a:t>Costos Totales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'Resumen Ejecutivo'!$A$3:$A$4</c:f>
              <c:strCache>
                <c:ptCount val="2"/>
                <c:pt idx="0">
                  <c:v>OPEX Total Anual</c:v>
                </c:pt>
                <c:pt idx="1">
                  <c:v>Costo total 3 años</c:v>
                </c:pt>
              </c:strCache>
            </c:strRef>
          </c:cat>
          <c:val>
            <c:numRef>
              <c:f>'Resumen Ejecutivo'!$B$3:$B$4</c:f>
              <c:numCache>
                <c:formatCode>_("$"* #,##0.00_);_("$"* \(#,##0.00\);_("$"* "-"??_);_(@_)</c:formatCode>
                <c:ptCount val="2"/>
                <c:pt idx="0">
                  <c:v>72600000</c:v>
                </c:pt>
                <c:pt idx="1">
                  <c:v>217800000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FB-416D-BEF1-68797B644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24492746"/>
        <c:axId val="323069882"/>
      </c:barChart>
      <c:catAx>
        <c:axId val="12244927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323069882"/>
        <c:crosses val="autoZero"/>
        <c:auto val="1"/>
        <c:lblAlgn val="ctr"/>
        <c:lblOffset val="100"/>
        <c:noMultiLvlLbl val="1"/>
      </c:catAx>
      <c:valAx>
        <c:axId val="323069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MX"/>
          </a:p>
        </c:txPr>
        <c:crossAx val="122449274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391150" cy="2695575"/>
    <xdr:graphicFrame macro="">
      <xdr:nvGraphicFramePr>
        <xdr:cNvPr id="1609700905" name="Chart 1">
          <a:extLst>
            <a:ext uri="{FF2B5EF4-FFF2-40B4-BE49-F238E27FC236}">
              <a16:creationId xmlns:a16="http://schemas.microsoft.com/office/drawing/2014/main" id="{00000000-0008-0000-0700-00002916F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0</xdr:rowOff>
    </xdr:from>
    <xdr:ext cx="5391150" cy="2695575"/>
    <xdr:graphicFrame macro="">
      <xdr:nvGraphicFramePr>
        <xdr:cNvPr id="281982959" name="Chart 2">
          <a:extLst>
            <a:ext uri="{FF2B5EF4-FFF2-40B4-BE49-F238E27FC236}">
              <a16:creationId xmlns:a16="http://schemas.microsoft.com/office/drawing/2014/main" id="{00000000-0008-0000-0700-0000EFB7C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9" sqref="B9"/>
    </sheetView>
  </sheetViews>
  <sheetFormatPr baseColWidth="10" defaultColWidth="14.42578125" defaultRowHeight="15" customHeight="1" x14ac:dyDescent="0.25"/>
  <cols>
    <col min="1" max="1" width="21" customWidth="1"/>
    <col min="2" max="2" width="40" customWidth="1"/>
    <col min="3" max="3" width="28" customWidth="1"/>
    <col min="4" max="26" width="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6">
        <f>CAPEX!E5</f>
        <v>6500000</v>
      </c>
    </row>
    <row r="3" spans="1:3" x14ac:dyDescent="0.25">
      <c r="A3" s="2" t="s">
        <v>4</v>
      </c>
      <c r="B3" s="6">
        <f>SUM(OPEX!E2:E3)</f>
        <v>72600000</v>
      </c>
    </row>
    <row r="4" spans="1:3" x14ac:dyDescent="0.25">
      <c r="A4" s="2" t="s">
        <v>5</v>
      </c>
      <c r="B4" s="10">
        <f>B3*3</f>
        <v>217800000</v>
      </c>
    </row>
    <row r="5" spans="1:3" x14ac:dyDescent="0.25">
      <c r="A5" s="2" t="s">
        <v>6</v>
      </c>
      <c r="B5" s="10">
        <f>B3*5</f>
        <v>363000000</v>
      </c>
    </row>
    <row r="6" spans="1:3" x14ac:dyDescent="0.25">
      <c r="A6" s="2" t="s">
        <v>7</v>
      </c>
      <c r="B6" s="6">
        <f>(B3-B2)/B2</f>
        <v>10.169230769230769</v>
      </c>
      <c r="C6" s="2" t="s">
        <v>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D4" sqref="D4"/>
    </sheetView>
  </sheetViews>
  <sheetFormatPr baseColWidth="10" defaultColWidth="14.42578125" defaultRowHeight="15" customHeight="1" x14ac:dyDescent="0.25"/>
  <cols>
    <col min="1" max="1" width="12" customWidth="1"/>
    <col min="2" max="2" width="16" customWidth="1"/>
    <col min="3" max="3" width="15" customWidth="1"/>
    <col min="4" max="4" width="17" customWidth="1"/>
    <col min="5" max="5" width="14" customWidth="1"/>
    <col min="6" max="7" width="15" customWidth="1"/>
    <col min="8" max="8" width="16" customWidth="1"/>
    <col min="9" max="26" width="8.7109375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2</v>
      </c>
    </row>
    <row r="2" spans="1:8" x14ac:dyDescent="0.25">
      <c r="A2" s="2" t="s">
        <v>16</v>
      </c>
      <c r="B2" s="2" t="s">
        <v>17</v>
      </c>
      <c r="C2" s="2" t="s">
        <v>18</v>
      </c>
      <c r="D2" s="7">
        <v>6000000</v>
      </c>
      <c r="E2" s="7">
        <f>D2*12</f>
        <v>72000000</v>
      </c>
      <c r="F2" s="7">
        <f t="shared" ref="F2:F3" si="0">E2*3</f>
        <v>216000000</v>
      </c>
      <c r="G2" s="7">
        <f t="shared" ref="G2:G3" si="1">E2*5</f>
        <v>360000000</v>
      </c>
      <c r="H2" s="8"/>
    </row>
    <row r="3" spans="1:8" x14ac:dyDescent="0.25">
      <c r="A3" s="2" t="s">
        <v>43</v>
      </c>
      <c r="B3" s="2" t="s">
        <v>44</v>
      </c>
      <c r="C3" s="2" t="s">
        <v>18</v>
      </c>
      <c r="D3" s="7">
        <v>50000</v>
      </c>
      <c r="E3" s="7">
        <f>D3*12</f>
        <v>600000</v>
      </c>
      <c r="F3" s="7">
        <f t="shared" si="0"/>
        <v>1800000</v>
      </c>
      <c r="G3" s="7">
        <f t="shared" si="1"/>
        <v>3000000</v>
      </c>
      <c r="H3" s="8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>
      <selection activeCell="D4" sqref="D4"/>
    </sheetView>
  </sheetViews>
  <sheetFormatPr baseColWidth="10" defaultColWidth="14.42578125" defaultRowHeight="15" customHeight="1" x14ac:dyDescent="0.25"/>
  <cols>
    <col min="1" max="1" width="16" customWidth="1"/>
    <col min="2" max="2" width="6" customWidth="1"/>
    <col min="3" max="3" width="9" customWidth="1"/>
    <col min="4" max="4" width="19" customWidth="1"/>
    <col min="5" max="5" width="17" customWidth="1"/>
    <col min="6" max="6" width="16" customWidth="1"/>
    <col min="7" max="7" width="14" customWidth="1"/>
    <col min="8" max="8" width="15" customWidth="1"/>
    <col min="9" max="26" width="8.7109375" customWidth="1"/>
  </cols>
  <sheetData>
    <row r="1" spans="1:8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12</v>
      </c>
      <c r="F1" s="1" t="s">
        <v>23</v>
      </c>
      <c r="G1" s="1" t="s">
        <v>13</v>
      </c>
      <c r="H1" s="1" t="s">
        <v>14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C3" sqref="C3"/>
    </sheetView>
  </sheetViews>
  <sheetFormatPr baseColWidth="10" defaultColWidth="14.42578125" defaultRowHeight="15" customHeight="1" x14ac:dyDescent="0.25"/>
  <cols>
    <col min="1" max="1" width="6" customWidth="1"/>
    <col min="2" max="2" width="11" customWidth="1"/>
    <col min="3" max="3" width="28" customWidth="1"/>
    <col min="4" max="4" width="15" customWidth="1"/>
    <col min="5" max="5" width="25" customWidth="1"/>
    <col min="6" max="6" width="14" customWidth="1"/>
    <col min="7" max="8" width="21" customWidth="1"/>
    <col min="9" max="26" width="8.7109375" customWidth="1"/>
  </cols>
  <sheetData>
    <row r="1" spans="1:8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13</v>
      </c>
      <c r="G1" s="1" t="s">
        <v>5</v>
      </c>
      <c r="H1" s="1" t="s">
        <v>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activeCell="E6" sqref="E6"/>
    </sheetView>
  </sheetViews>
  <sheetFormatPr baseColWidth="10" defaultColWidth="14.42578125" defaultRowHeight="15" customHeight="1" x14ac:dyDescent="0.25"/>
  <cols>
    <col min="1" max="1" width="17.7109375" bestFit="1" customWidth="1"/>
    <col min="2" max="2" width="15" customWidth="1"/>
    <col min="3" max="3" width="10" customWidth="1"/>
    <col min="4" max="4" width="8" customWidth="1"/>
    <col min="5" max="5" width="17" customWidth="1"/>
    <col min="6" max="6" width="13" customWidth="1"/>
    <col min="7" max="26" width="8.7109375" customWidth="1"/>
  </cols>
  <sheetData>
    <row r="1" spans="1:6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ht="15" customHeight="1" x14ac:dyDescent="0.25">
      <c r="A2" t="s">
        <v>45</v>
      </c>
      <c r="B2" s="9">
        <v>0.2</v>
      </c>
      <c r="E2" s="4">
        <v>250000</v>
      </c>
    </row>
    <row r="3" spans="1:6" ht="15" customHeight="1" x14ac:dyDescent="0.25">
      <c r="A3" t="s">
        <v>46</v>
      </c>
      <c r="B3" s="9">
        <v>0.2</v>
      </c>
      <c r="E3" s="4">
        <v>250000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B3" sqref="B3"/>
    </sheetView>
  </sheetViews>
  <sheetFormatPr baseColWidth="10" defaultColWidth="14.42578125" defaultRowHeight="15" customHeight="1" x14ac:dyDescent="0.25"/>
  <cols>
    <col min="1" max="1" width="20.42578125" bestFit="1" customWidth="1"/>
    <col min="2" max="2" width="8" customWidth="1"/>
    <col min="3" max="26" width="8.7109375" customWidth="1"/>
  </cols>
  <sheetData>
    <row r="1" spans="1:2" x14ac:dyDescent="0.25">
      <c r="A1" s="1" t="s">
        <v>35</v>
      </c>
      <c r="B1" s="1" t="s">
        <v>1</v>
      </c>
    </row>
    <row r="2" spans="1:2" ht="15" customHeight="1" x14ac:dyDescent="0.25">
      <c r="A2" t="s">
        <v>47</v>
      </c>
    </row>
    <row r="3" spans="1:2" ht="15" customHeight="1" x14ac:dyDescent="0.25">
      <c r="A3" t="s">
        <v>48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>
      <selection activeCell="E6" sqref="E6"/>
    </sheetView>
  </sheetViews>
  <sheetFormatPr baseColWidth="10" defaultColWidth="14.42578125" defaultRowHeight="15" customHeight="1" x14ac:dyDescent="0.25"/>
  <cols>
    <col min="1" max="1" width="12" customWidth="1"/>
    <col min="2" max="2" width="18" customWidth="1"/>
    <col min="3" max="3" width="11" customWidth="1"/>
    <col min="4" max="4" width="17" customWidth="1"/>
    <col min="5" max="6" width="14" customWidth="1"/>
    <col min="7" max="7" width="16" customWidth="1"/>
    <col min="8" max="26" width="8.7109375" customWidth="1"/>
  </cols>
  <sheetData>
    <row r="1" spans="1:7" x14ac:dyDescent="0.25">
      <c r="A1" s="1" t="s">
        <v>9</v>
      </c>
      <c r="B1" s="1" t="s">
        <v>10</v>
      </c>
      <c r="C1" s="1" t="s">
        <v>25</v>
      </c>
      <c r="D1" s="1" t="s">
        <v>12</v>
      </c>
      <c r="E1" s="1" t="s">
        <v>36</v>
      </c>
      <c r="F1" s="1" t="s">
        <v>37</v>
      </c>
      <c r="G1" s="1" t="s">
        <v>2</v>
      </c>
    </row>
    <row r="2" spans="1:7" x14ac:dyDescent="0.25">
      <c r="A2" s="2" t="s">
        <v>38</v>
      </c>
      <c r="B2" s="2" t="s">
        <v>41</v>
      </c>
      <c r="C2" s="2">
        <v>1</v>
      </c>
      <c r="D2" s="7">
        <v>250000</v>
      </c>
      <c r="E2" s="7">
        <f t="shared" ref="E2:E3" si="0">C2*D2</f>
        <v>250000</v>
      </c>
      <c r="F2" s="2" t="s">
        <v>39</v>
      </c>
    </row>
    <row r="3" spans="1:7" x14ac:dyDescent="0.25">
      <c r="A3" s="2" t="s">
        <v>38</v>
      </c>
      <c r="B3" s="2" t="s">
        <v>42</v>
      </c>
      <c r="C3" s="2">
        <v>1</v>
      </c>
      <c r="D3" s="7">
        <v>250000</v>
      </c>
      <c r="E3" s="7">
        <f t="shared" si="0"/>
        <v>250000</v>
      </c>
      <c r="F3" s="2" t="s">
        <v>39</v>
      </c>
    </row>
    <row r="4" spans="1:7" ht="15" customHeight="1" x14ac:dyDescent="0.25">
      <c r="A4" s="2" t="s">
        <v>40</v>
      </c>
      <c r="B4" t="s">
        <v>49</v>
      </c>
      <c r="C4">
        <v>1</v>
      </c>
      <c r="D4" s="8">
        <v>6000000</v>
      </c>
      <c r="E4" s="8">
        <v>6000000</v>
      </c>
      <c r="F4" t="s">
        <v>50</v>
      </c>
    </row>
    <row r="5" spans="1:7" ht="15" customHeight="1" x14ac:dyDescent="0.25">
      <c r="E5" s="11">
        <f>SUM(E2:E4)</f>
        <v>6500000</v>
      </c>
    </row>
    <row r="13" spans="1:7" ht="15" customHeight="1" x14ac:dyDescent="0.25">
      <c r="C13" s="3"/>
    </row>
    <row r="14" spans="1:7" ht="15" customHeight="1" x14ac:dyDescent="0.25">
      <c r="C14" s="3"/>
      <c r="D14" s="4"/>
      <c r="E14" s="4"/>
    </row>
    <row r="15" spans="1:7" ht="15" customHeight="1" x14ac:dyDescent="0.25">
      <c r="C15" s="3"/>
      <c r="D15" s="5"/>
    </row>
    <row r="16" spans="1:7" ht="15" customHeight="1" x14ac:dyDescent="0.25">
      <c r="C16" s="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13:C14"/>
    <mergeCell ref="C15:C16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topLeftCell="A13" workbookViewId="0"/>
  </sheetViews>
  <sheetFormatPr baseColWidth="10"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Resumen Ejecutivo</vt:lpstr>
      <vt:lpstr>OPEX</vt:lpstr>
      <vt:lpstr>Cloud</vt:lpstr>
      <vt:lpstr>Personal</vt:lpstr>
      <vt:lpstr>Riesgos</vt:lpstr>
      <vt:lpstr>Supuestos</vt:lpstr>
      <vt:lpstr>CAPEX</vt:lpstr>
      <vt:lpstr>Graficos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2025-11-15T00:32:39Z</dcterms:created>
  <dcterms:modified xsi:type="dcterms:W3CDTF">2025-12-02T01:47:27Z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0x010100372E9ED5DB3B46408A2BA12DBE6C2EC1</vt:lpwstr>
  </property>
  <property fmtid="{D5CDD505-2E9C-101B-9397-08002B2CF9AE}" pid="3" name="MediaServiceImageTags">
    <vt:lpwstr/>
  </property>
</Properties>
</file>